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5">
    <font>
      <name val="Calibri"/>
      <family val="2"/>
      <color theme="1"/>
      <sz val="11"/>
      <scheme val="minor"/>
    </font>
    <font>
      <b val="1"/>
      <color rgb="FFFFFFFF"/>
      <sz val="14"/>
    </font>
    <font>
      <b val="1"/>
    </font>
    <font>
      <i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2" fillId="6" borderId="1" pivotButton="0" quotePrefix="0" xfId="0"/>
    <xf numFmtId="0" fontId="2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right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6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22" customWidth="1" min="3" max="3"/>
    <col width="18" customWidth="1" min="4" max="4"/>
  </cols>
  <sheetData>
    <row r="1" ht="24" customHeight="1">
      <c r="A1" s="1" t="inlineStr">
        <is>
          <t>MEMORIA DE CALCULO — ACAO ANULATORIA DE RCC</t>
        </is>
      </c>
    </row>
    <row r="3">
      <c r="A3" s="2" t="inlineStr">
        <is>
          <t>Autora</t>
        </is>
      </c>
      <c r="B3" s="3" t="inlineStr">
        <is>
          <t>JOSE FICTICIO DOS SANTOS</t>
        </is>
      </c>
      <c r="C3" s="4" t="n"/>
      <c r="D3" s="4" t="n"/>
    </row>
    <row r="4">
      <c r="A4" s="2" t="inlineStr">
        <is>
          <t>CPF</t>
        </is>
      </c>
      <c r="B4" s="3" t="inlineStr">
        <is>
          <t>000.000.000-00</t>
        </is>
      </c>
      <c r="C4" s="4" t="n"/>
      <c r="D4" s="4" t="n"/>
    </row>
    <row r="5">
      <c r="A5" s="2" t="inlineStr">
        <is>
          <t>Beneficio (NB)</t>
        </is>
      </c>
      <c r="B5" s="3" t="inlineStr">
        <is>
          <t>000.000.000-0 — Aposentadoria Por Idade</t>
        </is>
      </c>
      <c r="C5" s="4" t="n"/>
      <c r="D5" s="4" t="n"/>
    </row>
    <row r="6">
      <c r="A6" s="2" t="inlineStr">
        <is>
          <t>Contrato</t>
        </is>
      </c>
      <c r="B6" s="3" t="inlineStr">
        <is>
          <t>7777-77 — Cartao de Credito com Reserva de Margem Consignavel (RMC)</t>
        </is>
      </c>
      <c r="C6" s="4" t="n"/>
      <c r="D6" s="4" t="n"/>
    </row>
    <row r="7">
      <c r="A7" s="2" t="inlineStr">
        <is>
          <t>Banco-reu</t>
        </is>
      </c>
      <c r="B7" s="3" t="inlineStr">
        <is>
          <t>EXEMPLO — CNPJ 00.000.000/0001-00</t>
        </is>
      </c>
      <c r="C7" s="4" t="n"/>
      <c r="D7" s="4" t="n"/>
    </row>
    <row r="8">
      <c r="A8" s="2" t="inlineStr">
        <is>
          <t>Periodo apurado</t>
        </is>
      </c>
      <c r="B8" s="3" t="inlineStr">
        <is>
          <t>01/2024 a 12/2025 (24 parcelas — destacadas as 24 dentro da prescricao quinquenal)</t>
        </is>
      </c>
      <c r="C8" s="4" t="n"/>
      <c r="D8" s="4" t="n"/>
    </row>
    <row r="9">
      <c r="A9" s="2" t="inlineStr">
        <is>
          <t>Procurador</t>
        </is>
      </c>
      <c r="B9" s="3" t="inlineStr">
        <is>
          <t>— — —</t>
        </is>
      </c>
      <c r="C9" s="4" t="n"/>
      <c r="D9" s="4" t="n"/>
    </row>
    <row r="11">
      <c r="A11" s="5" t="inlineStr">
        <is>
          <t>1. DETALHAMENTO DOS DESCONTOS NO BENEFICIO (HISCON) — 24 parcelas</t>
        </is>
      </c>
    </row>
    <row r="12">
      <c r="A12" s="6" t="inlineStr">
        <is>
          <t>#</t>
        </is>
      </c>
      <c r="B12" s="6" t="inlineStr">
        <is>
          <t>Competencia</t>
        </is>
      </c>
      <c r="C12" s="6" t="inlineStr">
        <is>
          <t>Valor desconto (R$)</t>
        </is>
      </c>
      <c r="D12" s="6" t="inlineStr">
        <is>
          <t>Dentro prescricao (5 anos)?</t>
        </is>
      </c>
    </row>
    <row r="13">
      <c r="A13" s="7" t="n">
        <v>1</v>
      </c>
      <c r="B13" s="7" t="inlineStr">
        <is>
          <t>12/2025</t>
        </is>
      </c>
      <c r="C13" s="8" t="n">
        <v>42.59</v>
      </c>
      <c r="D13" s="7" t="inlineStr">
        <is>
          <t>SIM</t>
        </is>
      </c>
    </row>
    <row r="14">
      <c r="A14" s="7" t="n">
        <v>2</v>
      </c>
      <c r="B14" s="7" t="inlineStr">
        <is>
          <t>11/2025</t>
        </is>
      </c>
      <c r="C14" s="8" t="n">
        <v>42.59</v>
      </c>
      <c r="D14" s="7" t="inlineStr">
        <is>
          <t>SIM</t>
        </is>
      </c>
    </row>
    <row r="15">
      <c r="A15" s="7" t="n">
        <v>3</v>
      </c>
      <c r="B15" s="7" t="inlineStr">
        <is>
          <t>10/2025</t>
        </is>
      </c>
      <c r="C15" s="8" t="n">
        <v>42.59</v>
      </c>
      <c r="D15" s="7" t="inlineStr">
        <is>
          <t>SIM</t>
        </is>
      </c>
    </row>
    <row r="16">
      <c r="A16" s="7" t="n">
        <v>4</v>
      </c>
      <c r="B16" s="7" t="inlineStr">
        <is>
          <t>09/2025</t>
        </is>
      </c>
      <c r="C16" s="8" t="n">
        <v>42.59</v>
      </c>
      <c r="D16" s="7" t="inlineStr">
        <is>
          <t>SIM</t>
        </is>
      </c>
    </row>
    <row r="17">
      <c r="A17" s="7" t="n">
        <v>5</v>
      </c>
      <c r="B17" s="7" t="inlineStr">
        <is>
          <t>08/2025</t>
        </is>
      </c>
      <c r="C17" s="8" t="n">
        <v>42.59</v>
      </c>
      <c r="D17" s="7" t="inlineStr">
        <is>
          <t>SIM</t>
        </is>
      </c>
    </row>
    <row r="18">
      <c r="A18" s="7" t="n">
        <v>6</v>
      </c>
      <c r="B18" s="7" t="inlineStr">
        <is>
          <t>07/2025</t>
        </is>
      </c>
      <c r="C18" s="8" t="n">
        <v>42.59</v>
      </c>
      <c r="D18" s="7" t="inlineStr">
        <is>
          <t>SIM</t>
        </is>
      </c>
    </row>
    <row r="19">
      <c r="A19" s="7" t="n">
        <v>7</v>
      </c>
      <c r="B19" s="7" t="inlineStr">
        <is>
          <t>06/2025</t>
        </is>
      </c>
      <c r="C19" s="8" t="n">
        <v>42.59</v>
      </c>
      <c r="D19" s="7" t="inlineStr">
        <is>
          <t>SIM</t>
        </is>
      </c>
    </row>
    <row r="20">
      <c r="A20" s="7" t="n">
        <v>8</v>
      </c>
      <c r="B20" s="7" t="inlineStr">
        <is>
          <t>05/2025</t>
        </is>
      </c>
      <c r="C20" s="8" t="n">
        <v>42.59</v>
      </c>
      <c r="D20" s="7" t="inlineStr">
        <is>
          <t>SIM</t>
        </is>
      </c>
    </row>
    <row r="21">
      <c r="A21" s="7" t="n">
        <v>9</v>
      </c>
      <c r="B21" s="7" t="inlineStr">
        <is>
          <t>04/2025</t>
        </is>
      </c>
      <c r="C21" s="8" t="n">
        <v>42.59</v>
      </c>
      <c r="D21" s="7" t="inlineStr">
        <is>
          <t>SIM</t>
        </is>
      </c>
    </row>
    <row r="22">
      <c r="A22" s="7" t="n">
        <v>10</v>
      </c>
      <c r="B22" s="7" t="inlineStr">
        <is>
          <t>03/2025</t>
        </is>
      </c>
      <c r="C22" s="8" t="n">
        <v>42.59</v>
      </c>
      <c r="D22" s="7" t="inlineStr">
        <is>
          <t>SIM</t>
        </is>
      </c>
    </row>
    <row r="23">
      <c r="A23" s="7" t="n">
        <v>11</v>
      </c>
      <c r="B23" s="7" t="inlineStr">
        <is>
          <t>02/2025</t>
        </is>
      </c>
      <c r="C23" s="8" t="n">
        <v>42.59</v>
      </c>
      <c r="D23" s="7" t="inlineStr">
        <is>
          <t>SIM</t>
        </is>
      </c>
    </row>
    <row r="24">
      <c r="A24" s="7" t="n">
        <v>12</v>
      </c>
      <c r="B24" s="7" t="inlineStr">
        <is>
          <t>01/2025</t>
        </is>
      </c>
      <c r="C24" s="8" t="n">
        <v>42.59</v>
      </c>
      <c r="D24" s="7" t="inlineStr">
        <is>
          <t>SIM</t>
        </is>
      </c>
    </row>
    <row r="25">
      <c r="A25" s="7" t="n">
        <v>13</v>
      </c>
      <c r="B25" s="7" t="inlineStr">
        <is>
          <t>12/2024</t>
        </is>
      </c>
      <c r="C25" s="8" t="n">
        <v>39.69</v>
      </c>
      <c r="D25" s="7" t="inlineStr">
        <is>
          <t>SIM</t>
        </is>
      </c>
    </row>
    <row r="26">
      <c r="A26" s="7" t="n">
        <v>14</v>
      </c>
      <c r="B26" s="7" t="inlineStr">
        <is>
          <t>11/2024</t>
        </is>
      </c>
      <c r="C26" s="8" t="n">
        <v>39.69</v>
      </c>
      <c r="D26" s="7" t="inlineStr">
        <is>
          <t>SIM</t>
        </is>
      </c>
    </row>
    <row r="27">
      <c r="A27" s="7" t="n">
        <v>15</v>
      </c>
      <c r="B27" s="7" t="inlineStr">
        <is>
          <t>10/2024</t>
        </is>
      </c>
      <c r="C27" s="8" t="n">
        <v>39.69</v>
      </c>
      <c r="D27" s="7" t="inlineStr">
        <is>
          <t>SIM</t>
        </is>
      </c>
    </row>
    <row r="28">
      <c r="A28" s="7" t="n">
        <v>16</v>
      </c>
      <c r="B28" s="7" t="inlineStr">
        <is>
          <t>09/2024</t>
        </is>
      </c>
      <c r="C28" s="8" t="n">
        <v>39.69</v>
      </c>
      <c r="D28" s="7" t="inlineStr">
        <is>
          <t>SIM</t>
        </is>
      </c>
    </row>
    <row r="29">
      <c r="A29" s="7" t="n">
        <v>17</v>
      </c>
      <c r="B29" s="7" t="inlineStr">
        <is>
          <t>08/2024</t>
        </is>
      </c>
      <c r="C29" s="8" t="n">
        <v>39.69</v>
      </c>
      <c r="D29" s="7" t="inlineStr">
        <is>
          <t>SIM</t>
        </is>
      </c>
    </row>
    <row r="30">
      <c r="A30" s="7" t="n">
        <v>18</v>
      </c>
      <c r="B30" s="7" t="inlineStr">
        <is>
          <t>07/2024</t>
        </is>
      </c>
      <c r="C30" s="8" t="n">
        <v>39.69</v>
      </c>
      <c r="D30" s="7" t="inlineStr">
        <is>
          <t>SIM</t>
        </is>
      </c>
    </row>
    <row r="31">
      <c r="A31" s="7" t="n">
        <v>19</v>
      </c>
      <c r="B31" s="7" t="inlineStr">
        <is>
          <t>06/2024</t>
        </is>
      </c>
      <c r="C31" s="8" t="n">
        <v>39.69</v>
      </c>
      <c r="D31" s="7" t="inlineStr">
        <is>
          <t>SIM</t>
        </is>
      </c>
    </row>
    <row r="32">
      <c r="A32" s="7" t="n">
        <v>20</v>
      </c>
      <c r="B32" s="7" t="inlineStr">
        <is>
          <t>05/2024</t>
        </is>
      </c>
      <c r="C32" s="8" t="n">
        <v>39.69</v>
      </c>
      <c r="D32" s="7" t="inlineStr">
        <is>
          <t>SIM</t>
        </is>
      </c>
    </row>
    <row r="33">
      <c r="A33" s="7" t="n">
        <v>21</v>
      </c>
      <c r="B33" s="7" t="inlineStr">
        <is>
          <t>04/2024</t>
        </is>
      </c>
      <c r="C33" s="8" t="n">
        <v>39.69</v>
      </c>
      <c r="D33" s="7" t="inlineStr">
        <is>
          <t>SIM</t>
        </is>
      </c>
    </row>
    <row r="34">
      <c r="A34" s="7" t="n">
        <v>22</v>
      </c>
      <c r="B34" s="7" t="inlineStr">
        <is>
          <t>03/2024</t>
        </is>
      </c>
      <c r="C34" s="8" t="n">
        <v>39.69</v>
      </c>
      <c r="D34" s="7" t="inlineStr">
        <is>
          <t>SIM</t>
        </is>
      </c>
    </row>
    <row r="35">
      <c r="A35" s="7" t="n">
        <v>23</v>
      </c>
      <c r="B35" s="7" t="inlineStr">
        <is>
          <t>02/2024</t>
        </is>
      </c>
      <c r="C35" s="8" t="n">
        <v>39.69</v>
      </c>
      <c r="D35" s="7" t="inlineStr">
        <is>
          <t>SIM</t>
        </is>
      </c>
    </row>
    <row r="36">
      <c r="A36" s="7" t="n">
        <v>24</v>
      </c>
      <c r="B36" s="7" t="inlineStr">
        <is>
          <t>01/2024</t>
        </is>
      </c>
      <c r="C36" s="8" t="n">
        <v>39.69</v>
      </c>
      <c r="D36" s="7" t="inlineStr">
        <is>
          <t>SIM</t>
        </is>
      </c>
    </row>
    <row r="37">
      <c r="A37" s="4" t="n"/>
      <c r="B37" s="9" t="inlineStr">
        <is>
          <t>SUBTOTAL — 24 parcelas DENTRO da prescricao (5 anos):</t>
        </is>
      </c>
      <c r="C37" s="10">
        <f>SUMIFS(C13:C36,D13:D36,"SIM")</f>
        <v/>
      </c>
      <c r="D37" s="4" t="n"/>
    </row>
    <row r="38">
      <c r="A38" s="4" t="n"/>
      <c r="B38" s="11" t="inlineStr">
        <is>
          <t>TOTAL HISTORICO — 24 parcelas (informativo):</t>
        </is>
      </c>
      <c r="C38" s="12">
        <f>SUM(C13:C36)</f>
        <v/>
      </c>
      <c r="D38" s="4" t="n"/>
    </row>
    <row r="40">
      <c r="A40" s="5" t="inlineStr">
        <is>
          <t>2. COMPOSICAO DO VALOR DA CAUSA</t>
        </is>
      </c>
    </row>
    <row r="41">
      <c r="A41" s="6" t="inlineStr">
        <is>
          <t>Componente</t>
        </is>
      </c>
      <c r="B41" s="6" t="inlineStr">
        <is>
          <t>Fundamento / criterio</t>
        </is>
      </c>
      <c r="C41" s="6" t="inlineStr">
        <is>
          <t>Valor (R$)</t>
        </is>
      </c>
      <c r="D41" s="6" t="inlineStr"/>
    </row>
    <row r="42">
      <c r="A42" s="3" t="inlineStr">
        <is>
          <t>Repeticao em dobro (art. 42, par. unico, CDC)</t>
        </is>
      </c>
      <c r="B42" s="3" t="inlineStr">
        <is>
          <t>Soma dos 24 descontos dentro da prescricao x 2 — independe de ma-fe</t>
        </is>
      </c>
      <c r="C42" s="13" t="n">
        <v>1974.72</v>
      </c>
      <c r="D42" s="14" t="inlineStr"/>
    </row>
    <row r="43">
      <c r="A43" s="15" t="inlineStr">
        <is>
          <t>Subsidiariamente — repeticao simples</t>
        </is>
      </c>
      <c r="B43" s="15" t="inlineStr">
        <is>
          <t>Soma dos 24 descontos dentro da prescricao (pedido alternativo)</t>
        </is>
      </c>
      <c r="C43" s="12" t="n">
        <v>987.36</v>
      </c>
      <c r="D43" s="11" t="inlineStr"/>
    </row>
    <row r="44">
      <c r="A44" s="3" t="inlineStr">
        <is>
          <t>Dano moral</t>
        </is>
      </c>
      <c r="B44" s="3" t="inlineStr">
        <is>
          <t>Padrao escritorio (IRDR Tema 5 TJAM + Sumula 54 STJ)</t>
        </is>
      </c>
      <c r="C44" s="13" t="n">
        <v>10000</v>
      </c>
      <c r="D44" s="14" t="inlineStr"/>
    </row>
    <row r="45">
      <c r="A45" s="3" t="inlineStr">
        <is>
          <t>Dano temporal — teoria do desvio produtivo</t>
        </is>
      </c>
      <c r="B45" s="3" t="inlineStr">
        <is>
          <t>Padrao escritorio (REsp 1.737.412/SP — Min. Nancy Andrighi)</t>
        </is>
      </c>
      <c r="C45" s="13" t="n">
        <v>5000</v>
      </c>
      <c r="D45" s="14" t="inlineStr"/>
    </row>
    <row r="46">
      <c r="A46" s="16" t="inlineStr">
        <is>
          <t>VALOR DA CAUSA</t>
        </is>
      </c>
      <c r="B46" s="17" t="inlineStr">
        <is>
          <t>Dobro + dano moral + dano temporal</t>
        </is>
      </c>
      <c r="C46" s="18" t="n">
        <v>16974.72</v>
      </c>
      <c r="D46" s="19" t="n"/>
    </row>
    <row r="48">
      <c r="A48" s="5" t="inlineStr">
        <is>
          <t>3. NOTAS JURIDICAS</t>
        </is>
      </c>
    </row>
    <row r="49">
      <c r="A49" s="3" t="inlineStr">
        <is>
          <t>1. Total historico de descontos no contrato 7777-77: 24 parcelas (01/2024 a 12/2025).</t>
        </is>
      </c>
    </row>
    <row r="50">
      <c r="A50" s="3" t="inlineStr">
        <is>
          <t>2. Dentro da prescricao quinquenal (CDC art. 27): 24 parcelas — base do calculo do dobro.</t>
        </is>
      </c>
    </row>
    <row r="51">
      <c r="A51" s="3" t="inlineStr">
        <is>
          <t>3. Restituicao em dobro independe de ma-fe (EAREsp 676.608/RS, STJ, 30/03/2021).</t>
        </is>
      </c>
    </row>
    <row r="52">
      <c r="A52" s="3" t="inlineStr">
        <is>
          <t>4. Dano moral in re ipsa — IRDR Tema 5 TJAM (Autos 0005217-75.2019.8.04.0000).</t>
        </is>
      </c>
    </row>
    <row r="53">
      <c r="A53" s="3" t="inlineStr">
        <is>
          <t>5. Dano temporal (desvio produtivo): REsp 1.737.412/SP, Min. Nancy Andrighi.</t>
        </is>
      </c>
    </row>
    <row r="54">
      <c r="A54" s="3" t="inlineStr">
        <is>
          <t>6. Juros de mora: 1% a.m. desde o primeiro desconto indevido (Sumula 54 STJ).</t>
        </is>
      </c>
    </row>
    <row r="55">
      <c r="A55" s="3" t="inlineStr">
        <is>
          <t>7. Correcao monetaria: INPC desde cada desembolso (dano material) e a partir da sentenca (dano moral).</t>
        </is>
      </c>
    </row>
    <row r="56">
      <c r="A56" s="3" t="inlineStr">
        <is>
          <t>8. Pedido subsidiario de repeticao simples NAO soma no valor da causa.</t>
        </is>
      </c>
    </row>
  </sheetData>
  <mergeCells count="19">
    <mergeCell ref="A53:D53"/>
    <mergeCell ref="B8:D8"/>
    <mergeCell ref="A52:D52"/>
    <mergeCell ref="A40:D40"/>
    <mergeCell ref="A48:D48"/>
    <mergeCell ref="B9:D9"/>
    <mergeCell ref="A51:D51"/>
    <mergeCell ref="A11:D11"/>
    <mergeCell ref="A49:D49"/>
    <mergeCell ref="B6:D6"/>
    <mergeCell ref="A1:D1"/>
    <mergeCell ref="B5:D5"/>
    <mergeCell ref="B4:D4"/>
    <mergeCell ref="A54:D54"/>
    <mergeCell ref="B7:D7"/>
    <mergeCell ref="B3:D3"/>
    <mergeCell ref="A56:D56"/>
    <mergeCell ref="A50:D50"/>
    <mergeCell ref="A55:D55"/>
  </mergeCells>
  <printOptions horizontalCentered="1"/>
  <pageMargins left="0.5" right="0.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2026-05-15T14:19:08Z</dcterms:created>
  <dcterms:modified xmlns:dcterms="http://purl.org/dc/terms/" xmlns:xsi="http://www.w3.org/2001/XMLSchema-instance" xsi:type="dcterms:W3CDTF">2026-05-15T14:19:08Z</dcterms:modified>
</cp:coreProperties>
</file>